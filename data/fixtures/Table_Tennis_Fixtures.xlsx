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omtominternational-my.sharepoint.com/personal/aniket_gadekar_tomtom_com/Documents/Desktop/Tomstars/2026/2026 House Scores/Fixtures &amp; Winners/"/>
    </mc:Choice>
  </mc:AlternateContent>
  <xr:revisionPtr revIDLastSave="15" documentId="8_{6100E86F-5280-416D-80A0-22BC1EDDCDEE}" xr6:coauthVersionLast="47" xr6:coauthVersionMax="47" xr10:uidLastSave="{B91495DD-E021-47B8-8763-F1A3F0964BD0}"/>
  <bookViews>
    <workbookView xWindow="34095" yWindow="-735" windowWidth="18720" windowHeight="15345" activeTab="1" xr2:uid="{4B631BA6-5E9E-4B06-A4B8-0CC4DF470507}"/>
  </bookViews>
  <sheets>
    <sheet name="Mens " sheetId="7" r:id="rId1"/>
    <sheet name="Female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7" i="7" l="1"/>
  <c r="B17" i="7"/>
  <c r="C16" i="7"/>
  <c r="B16" i="7"/>
  <c r="C15" i="7"/>
  <c r="B15" i="7"/>
  <c r="B14" i="7"/>
  <c r="B13" i="7"/>
  <c r="B11" i="7"/>
  <c r="B8" i="7"/>
  <c r="B7" i="7"/>
  <c r="B6" i="7"/>
  <c r="B5" i="7"/>
  <c r="C4" i="7"/>
  <c r="B4" i="7"/>
  <c r="C3" i="7"/>
  <c r="B3" i="7"/>
  <c r="C2" i="7"/>
</calcChain>
</file>

<file path=xl/sharedStrings.xml><?xml version="1.0" encoding="utf-8"?>
<sst xmlns="http://schemas.openxmlformats.org/spreadsheetml/2006/main" count="96" uniqueCount="53">
  <si>
    <t>Match</t>
  </si>
  <si>
    <t>Player A</t>
  </si>
  <si>
    <t>Player B</t>
  </si>
  <si>
    <t xml:space="preserve"> Finals</t>
  </si>
  <si>
    <t>Syednaqi Rizvi</t>
  </si>
  <si>
    <t>Syednaqi</t>
  </si>
  <si>
    <t>Satyam Kesa</t>
  </si>
  <si>
    <t>Atish Pawar</t>
  </si>
  <si>
    <t>Mohammadali</t>
  </si>
  <si>
    <t>Abhijit Kadam</t>
  </si>
  <si>
    <t>Rahul Patil</t>
  </si>
  <si>
    <t>Soham Rumane</t>
  </si>
  <si>
    <t>Sandeep Patil</t>
  </si>
  <si>
    <t>Jayesh Mahajan</t>
  </si>
  <si>
    <t>Hiraman Chorghade</t>
  </si>
  <si>
    <t>Milind Chawre</t>
  </si>
  <si>
    <t>Rahul Dugal</t>
  </si>
  <si>
    <t>Kuldeep Dimble</t>
  </si>
  <si>
    <t>Ali Jawadi</t>
  </si>
  <si>
    <t>Rajesh kumar</t>
  </si>
  <si>
    <t xml:space="preserve">Ankit Tyagi </t>
  </si>
  <si>
    <t>Saddat Bisati</t>
  </si>
  <si>
    <t>Somnath Pawar</t>
  </si>
  <si>
    <t>Mandar Hiremath</t>
  </si>
  <si>
    <t>Vikas Sakhare</t>
  </si>
  <si>
    <t>Ashok Salve</t>
  </si>
  <si>
    <t>Sangram Dedge</t>
  </si>
  <si>
    <t>Player 1</t>
  </si>
  <si>
    <t>vs</t>
  </si>
  <si>
    <t>Player 2</t>
  </si>
  <si>
    <t>Round 2</t>
  </si>
  <si>
    <t xml:space="preserve">Finals </t>
  </si>
  <si>
    <t>W1</t>
  </si>
  <si>
    <t>Aditi Sabnis</t>
  </si>
  <si>
    <t>Sneha Deshpande</t>
  </si>
  <si>
    <t>W2</t>
  </si>
  <si>
    <t>Ambika Tipare</t>
  </si>
  <si>
    <t>Swati Gosavi</t>
  </si>
  <si>
    <t>W3</t>
  </si>
  <si>
    <t>Anagha Joshi</t>
  </si>
  <si>
    <t>Shinny D'Souza</t>
  </si>
  <si>
    <t>Monika Jambhulkar</t>
  </si>
  <si>
    <t>W4</t>
  </si>
  <si>
    <t>Ankita Agrawal</t>
  </si>
  <si>
    <t>W5</t>
  </si>
  <si>
    <t>Kalyani Patil</t>
  </si>
  <si>
    <t>Kiran Ahire</t>
  </si>
  <si>
    <t>Shristi painaik</t>
  </si>
  <si>
    <t>w6</t>
  </si>
  <si>
    <t>Niharika</t>
  </si>
  <si>
    <t>Semi Finals</t>
  </si>
  <si>
    <t>Winner</t>
  </si>
  <si>
    <t>Round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</si>
</sst>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theme="1"/>
      <name val="Aptos Narrow"/>
      <family val="2"/>
    </font>
    <font>
      <sz val="11"/>
      <color theme="1"/>
      <name val="Aptos Narrow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1F3864"/>
        <bgColor rgb="FF333333"/>
      </patternFill>
    </fill>
    <fill>
      <patternFill patternType="solid">
        <fgColor rgb="FFFF0000"/>
        <bgColor rgb="FF000000"/>
      </patternFill>
    </fill>
    <fill>
      <patternFill patternType="solid">
        <fgColor rgb="FF47D359"/>
        <bgColor rgb="FF000000"/>
      </patternFill>
    </fill>
    <fill>
      <patternFill patternType="solid">
        <fgColor rgb="FFA6C9EC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Alignment="1">
      <alignment horizontal="center"/>
    </xf>
    <xf numFmtId="0" fontId="3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1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/>
    <xf numFmtId="0" fontId="4" fillId="9" borderId="1" xfId="0" applyFont="1" applyFill="1" applyBorder="1"/>
    <xf numFmtId="0" fontId="0" fillId="0" borderId="4" xfId="0" applyBorder="1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priyanshi_dhimole_tomtom_com1/Documents/TT_Knockout_Organizer_Workbook_1.xlsx" TargetMode="External"/><Relationship Id="rId2" Type="http://schemas.openxmlformats.org/officeDocument/2006/relationships/externalLinkPath" Target="https://tomtominternational-my.sharepoint.com/personal/priyanshi_dhimole_tomtom_com1/Documents/TT_Knockout_Organizer_Workbook_1.xlsx" TargetMode="External"/><Relationship Id="rId1" Type="http://schemas.openxmlformats.org/officeDocument/2006/relationships/externalLinkPath" Target="/personal/priyanshi_dhimole_tomtom_com1/Documents/TT_Knockout_Organizer_Workbook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ad Me"/>
      <sheetName val="Slots"/>
      <sheetName val="R64"/>
      <sheetName val="Players"/>
      <sheetName val="R32"/>
      <sheetName val="R16"/>
      <sheetName val="QF"/>
      <sheetName val="SF"/>
      <sheetName val="Final"/>
      <sheetName val="Validation"/>
    </sheetNames>
    <sheetDataSet>
      <sheetData sheetId="0"/>
      <sheetData sheetId="1"/>
      <sheetData sheetId="2">
        <row r="3">
          <cell r="H3" t="str">
            <v>Nitin Borade</v>
          </cell>
        </row>
        <row r="4">
          <cell r="H4" t="str">
            <v>Atish Pawar</v>
          </cell>
        </row>
        <row r="5">
          <cell r="H5" t="str">
            <v>Ankur Mayur</v>
          </cell>
        </row>
        <row r="6">
          <cell r="H6" t="str">
            <v>Mohammadali Aba</v>
          </cell>
        </row>
        <row r="7">
          <cell r="H7" t="str">
            <v>Yogesh Nimbalkar</v>
          </cell>
        </row>
        <row r="8">
          <cell r="H8" t="str">
            <v>Rahul Patil</v>
          </cell>
        </row>
        <row r="10">
          <cell r="H10" t="str">
            <v>Satyam Kesarwani</v>
          </cell>
        </row>
        <row r="12">
          <cell r="H12" t="str">
            <v>Jayesh Mahajan</v>
          </cell>
        </row>
        <row r="14">
          <cell r="H14" t="str">
            <v>Ajay Bharti</v>
          </cell>
        </row>
        <row r="20">
          <cell r="H20" t="str">
            <v>Manoj Birhade</v>
          </cell>
        </row>
        <row r="24">
          <cell r="H24" t="str">
            <v>Nitinkumar Waghmare</v>
          </cell>
        </row>
        <row r="26">
          <cell r="H26" t="str">
            <v>Amir Shaikh</v>
          </cell>
        </row>
        <row r="28">
          <cell r="H28" t="str">
            <v>Ashok Salve</v>
          </cell>
        </row>
        <row r="29">
          <cell r="H29" t="str">
            <v>Vrushal Fadanvis</v>
          </cell>
        </row>
        <row r="30">
          <cell r="H30" t="str">
            <v>Sangram Dedge</v>
          </cell>
        </row>
        <row r="31">
          <cell r="H31" t="str">
            <v>Rahul Zingade</v>
          </cell>
        </row>
        <row r="32">
          <cell r="H32" t="str">
            <v>Abhijit Patil</v>
          </cell>
        </row>
        <row r="33">
          <cell r="H33" t="str">
            <v>Ankit Tyagi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86C7-9959-4235-8CA5-640483532946}">
  <dimension ref="A1:H17"/>
  <sheetViews>
    <sheetView workbookViewId="0">
      <selection activeCell="I1" sqref="I1"/>
    </sheetView>
  </sheetViews>
  <sheetFormatPr defaultRowHeight="15" x14ac:dyDescent="0.25"/>
  <cols>
    <col min="2" max="2" width="18.5703125" bestFit="1" customWidth="1"/>
    <col min="3" max="3" width="16.7109375" bestFit="1" customWidth="1"/>
    <col min="4" max="4" width="17.140625" bestFit="1" customWidth="1"/>
    <col min="5" max="5" width="14.85546875" customWidth="1"/>
    <col min="6" max="6" width="12" customWidth="1"/>
    <col min="7" max="7" width="12.140625" customWidth="1"/>
    <col min="8" max="8" width="13.85546875" customWidth="1"/>
  </cols>
  <sheetData>
    <row r="1" spans="1:8" x14ac:dyDescent="0.25">
      <c r="A1" s="10" t="s">
        <v>0</v>
      </c>
      <c r="B1" s="10" t="s">
        <v>1</v>
      </c>
      <c r="C1" s="10" t="s">
        <v>2</v>
      </c>
      <c r="D1" s="10" t="s">
        <v>30</v>
      </c>
      <c r="E1" s="10" t="s">
        <v>52</v>
      </c>
      <c r="F1" s="10" t="s">
        <v>50</v>
      </c>
      <c r="G1" s="10" t="s">
        <v>3</v>
      </c>
      <c r="H1" s="29" t="s">
        <v>51</v>
      </c>
    </row>
    <row r="2" spans="1:8" x14ac:dyDescent="0.25">
      <c r="A2" s="11">
        <v>1</v>
      </c>
      <c r="B2" s="7" t="s">
        <v>4</v>
      </c>
      <c r="C2" s="12" t="str">
        <f>IF([1]R64!H3="","TBD",[1]R64!H3)</f>
        <v>Nitin Borade</v>
      </c>
      <c r="D2" s="4" t="s">
        <v>5</v>
      </c>
      <c r="E2" s="25" t="s">
        <v>5</v>
      </c>
      <c r="F2" s="25" t="s">
        <v>5</v>
      </c>
      <c r="G2" s="22" t="s">
        <v>6</v>
      </c>
    </row>
    <row r="3" spans="1:8" x14ac:dyDescent="0.25">
      <c r="A3" s="11">
        <v>2</v>
      </c>
      <c r="B3" s="12" t="str">
        <f>IF([1]R64!H4="","TBD",[1]R64!H4)</f>
        <v>Atish Pawar</v>
      </c>
      <c r="C3" s="12" t="str">
        <f>IF([1]R64!H5="","TBD",[1]R64!H5)</f>
        <v>Ankur Mayur</v>
      </c>
      <c r="D3" s="1" t="s">
        <v>7</v>
      </c>
      <c r="E3" s="25"/>
      <c r="F3" s="25"/>
      <c r="G3" s="23"/>
    </row>
    <row r="4" spans="1:8" x14ac:dyDescent="0.25">
      <c r="A4" s="11">
        <v>3</v>
      </c>
      <c r="B4" s="13" t="str">
        <f>IF([1]R64!H6="","TBD",[1]R64!H6)</f>
        <v>Mohammadali Aba</v>
      </c>
      <c r="C4" s="13" t="str">
        <f>IF([1]R64!H7="","TBD",[1]R64!H7)</f>
        <v>Yogesh Nimbalkar</v>
      </c>
      <c r="D4" s="2" t="s">
        <v>8</v>
      </c>
      <c r="E4" s="16" t="s">
        <v>8</v>
      </c>
      <c r="F4" s="25"/>
      <c r="G4" s="23"/>
    </row>
    <row r="5" spans="1:8" x14ac:dyDescent="0.25">
      <c r="A5" s="11">
        <v>4</v>
      </c>
      <c r="B5" s="12" t="str">
        <f>IF([1]R64!H8="","TBD",[1]R64!H8)</f>
        <v>Rahul Patil</v>
      </c>
      <c r="C5" s="9" t="s">
        <v>9</v>
      </c>
      <c r="D5" s="1" t="s">
        <v>10</v>
      </c>
      <c r="E5" s="16"/>
      <c r="F5" s="25"/>
      <c r="G5" s="23"/>
    </row>
    <row r="6" spans="1:8" x14ac:dyDescent="0.25">
      <c r="A6" s="11">
        <v>5</v>
      </c>
      <c r="B6" s="12" t="str">
        <f>IF([1]R64!H10="","TBD",[1]R64!H10)</f>
        <v>Satyam Kesarwani</v>
      </c>
      <c r="C6" s="7" t="s">
        <v>11</v>
      </c>
      <c r="D6" s="1" t="s">
        <v>6</v>
      </c>
      <c r="E6" s="20" t="s">
        <v>6</v>
      </c>
      <c r="F6" s="20" t="s">
        <v>6</v>
      </c>
      <c r="G6" s="23"/>
    </row>
    <row r="7" spans="1:8" x14ac:dyDescent="0.25">
      <c r="A7" s="11">
        <v>6</v>
      </c>
      <c r="B7" s="12" t="str">
        <f>IF([1]R64!H12="","TBD",[1]R64!H12)</f>
        <v>Jayesh Mahajan</v>
      </c>
      <c r="C7" s="7" t="s">
        <v>12</v>
      </c>
      <c r="D7" s="1" t="s">
        <v>13</v>
      </c>
      <c r="E7" s="20"/>
      <c r="F7" s="20"/>
      <c r="G7" s="23"/>
    </row>
    <row r="8" spans="1:8" x14ac:dyDescent="0.25">
      <c r="A8" s="11">
        <v>7</v>
      </c>
      <c r="B8" s="12" t="str">
        <f>IF([1]R64!H14="","TBD",[1]R64!H14)</f>
        <v>Ajay Bharti</v>
      </c>
      <c r="C8" s="9" t="s">
        <v>14</v>
      </c>
      <c r="D8" s="9" t="s">
        <v>14</v>
      </c>
      <c r="E8" s="21" t="s">
        <v>15</v>
      </c>
      <c r="F8" s="20"/>
      <c r="G8" s="23"/>
    </row>
    <row r="9" spans="1:8" x14ac:dyDescent="0.25">
      <c r="A9" s="11">
        <v>8</v>
      </c>
      <c r="B9" s="8" t="s">
        <v>16</v>
      </c>
      <c r="C9" s="7" t="s">
        <v>15</v>
      </c>
      <c r="D9" s="7" t="s">
        <v>15</v>
      </c>
      <c r="E9" s="21"/>
      <c r="F9" s="20"/>
      <c r="G9" s="24"/>
    </row>
    <row r="10" spans="1:8" x14ac:dyDescent="0.25">
      <c r="A10" s="11">
        <v>9</v>
      </c>
      <c r="B10" s="7" t="s">
        <v>17</v>
      </c>
      <c r="C10" s="8" t="s">
        <v>18</v>
      </c>
      <c r="D10" s="8" t="s">
        <v>18</v>
      </c>
      <c r="E10" s="26" t="s">
        <v>19</v>
      </c>
      <c r="F10" s="26" t="s">
        <v>19</v>
      </c>
      <c r="G10" s="17" t="s">
        <v>20</v>
      </c>
    </row>
    <row r="11" spans="1:8" x14ac:dyDescent="0.25">
      <c r="A11" s="11">
        <v>10</v>
      </c>
      <c r="B11" s="12" t="str">
        <f>IF([1]R64!H20="","TBD",[1]R64!H20)</f>
        <v>Manoj Birhade</v>
      </c>
      <c r="C11" s="14" t="s">
        <v>19</v>
      </c>
      <c r="D11" s="14" t="s">
        <v>19</v>
      </c>
      <c r="E11" s="26"/>
      <c r="F11" s="26"/>
      <c r="G11" s="18"/>
    </row>
    <row r="12" spans="1:8" x14ac:dyDescent="0.25">
      <c r="A12" s="11">
        <v>11</v>
      </c>
      <c r="B12" s="7" t="s">
        <v>21</v>
      </c>
      <c r="C12" s="12" t="s">
        <v>22</v>
      </c>
      <c r="D12" s="1" t="s">
        <v>22</v>
      </c>
      <c r="E12" s="20" t="s">
        <v>22</v>
      </c>
      <c r="F12" s="26"/>
      <c r="G12" s="18"/>
      <c r="H12" s="6"/>
    </row>
    <row r="13" spans="1:8" x14ac:dyDescent="0.25">
      <c r="A13" s="11">
        <v>12</v>
      </c>
      <c r="B13" s="12" t="str">
        <f>IF([1]R64!H24="","TBD",[1]R64!H24)</f>
        <v>Nitinkumar Waghmare</v>
      </c>
      <c r="C13" s="9" t="s">
        <v>23</v>
      </c>
      <c r="D13" s="9" t="s">
        <v>23</v>
      </c>
      <c r="E13" s="20"/>
      <c r="F13" s="26"/>
      <c r="G13" s="18"/>
    </row>
    <row r="14" spans="1:8" x14ac:dyDescent="0.25">
      <c r="A14" s="11">
        <v>13</v>
      </c>
      <c r="B14" s="12" t="str">
        <f>IF([1]R64!H26="","TBD",[1]R64!H26)</f>
        <v>Amir Shaikh</v>
      </c>
      <c r="C14" s="7" t="s">
        <v>24</v>
      </c>
      <c r="D14" s="7" t="s">
        <v>24</v>
      </c>
      <c r="E14" s="21" t="s">
        <v>24</v>
      </c>
      <c r="F14" s="16" t="s">
        <v>20</v>
      </c>
      <c r="G14" s="18"/>
    </row>
    <row r="15" spans="1:8" x14ac:dyDescent="0.25">
      <c r="A15" s="11">
        <v>14</v>
      </c>
      <c r="B15" s="13" t="str">
        <f>IF([1]R64!H28="","TBD",[1]R64!H28)</f>
        <v>Ashok Salve</v>
      </c>
      <c r="C15" s="12" t="str">
        <f>IF([1]R64!H29="","TBD",[1]R64!H29)</f>
        <v>Vrushal Fadanvis</v>
      </c>
      <c r="D15" s="2" t="s">
        <v>25</v>
      </c>
      <c r="E15" s="21"/>
      <c r="F15" s="16"/>
      <c r="G15" s="18"/>
    </row>
    <row r="16" spans="1:8" x14ac:dyDescent="0.25">
      <c r="A16" s="11">
        <v>15</v>
      </c>
      <c r="B16" s="12" t="str">
        <f>IF([1]R64!H30="","TBD",[1]R64!H30)</f>
        <v>Sangram Dedge</v>
      </c>
      <c r="C16" s="12" t="str">
        <f>IF([1]R64!H31="","TBD",[1]R64!H31)</f>
        <v>Rahul Zingade</v>
      </c>
      <c r="D16" s="1" t="s">
        <v>26</v>
      </c>
      <c r="E16" s="16" t="s">
        <v>20</v>
      </c>
      <c r="F16" s="16"/>
      <c r="G16" s="18"/>
    </row>
    <row r="17" spans="1:7" x14ac:dyDescent="0.25">
      <c r="A17" s="11">
        <v>16</v>
      </c>
      <c r="B17" s="12" t="str">
        <f>IF([1]R64!H32="","TBD",[1]R64!H32)</f>
        <v>Abhijit Patil</v>
      </c>
      <c r="C17" s="13" t="str">
        <f>IF([1]R64!H33="","TBD",[1]R64!H33)</f>
        <v>Ankit Tyagi</v>
      </c>
      <c r="D17" s="2" t="s">
        <v>20</v>
      </c>
      <c r="E17" s="16"/>
      <c r="F17" s="16"/>
      <c r="G17" s="19"/>
    </row>
  </sheetData>
  <mergeCells count="14">
    <mergeCell ref="G2:G9"/>
    <mergeCell ref="F2:F5"/>
    <mergeCell ref="F10:F13"/>
    <mergeCell ref="F6:F9"/>
    <mergeCell ref="E2:E3"/>
    <mergeCell ref="E4:E5"/>
    <mergeCell ref="E6:E7"/>
    <mergeCell ref="E8:E9"/>
    <mergeCell ref="E10:E11"/>
    <mergeCell ref="F14:F17"/>
    <mergeCell ref="G10:G17"/>
    <mergeCell ref="E12:E13"/>
    <mergeCell ref="E16:E17"/>
    <mergeCell ref="E14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F2898-81BE-4718-A9E7-452585020B4F}">
  <sheetPr codeName="Sheet3"/>
  <dimension ref="A1:H8"/>
  <sheetViews>
    <sheetView tabSelected="1" workbookViewId="0">
      <selection activeCell="I9" sqref="I9"/>
    </sheetView>
  </sheetViews>
  <sheetFormatPr defaultRowHeight="15" x14ac:dyDescent="0.25"/>
  <cols>
    <col min="2" max="2" width="12.5703125" bestFit="1" customWidth="1"/>
    <col min="4" max="4" width="16.28515625" bestFit="1" customWidth="1"/>
    <col min="5" max="5" width="15.42578125" bestFit="1" customWidth="1"/>
    <col min="6" max="7" width="16.28515625" bestFit="1" customWidth="1"/>
    <col min="8" max="8" width="13.140625" customWidth="1"/>
  </cols>
  <sheetData>
    <row r="1" spans="1:8" x14ac:dyDescent="0.25">
      <c r="A1" s="10" t="s">
        <v>0</v>
      </c>
      <c r="B1" s="10" t="s">
        <v>27</v>
      </c>
      <c r="C1" s="10" t="s">
        <v>28</v>
      </c>
      <c r="D1" s="10" t="s">
        <v>29</v>
      </c>
      <c r="E1" s="10" t="s">
        <v>30</v>
      </c>
      <c r="F1" s="10" t="s">
        <v>50</v>
      </c>
      <c r="G1" s="10" t="s">
        <v>31</v>
      </c>
      <c r="H1" s="29" t="s">
        <v>51</v>
      </c>
    </row>
    <row r="2" spans="1:8" x14ac:dyDescent="0.25">
      <c r="A2" s="1" t="s">
        <v>32</v>
      </c>
      <c r="B2" s="2" t="s">
        <v>33</v>
      </c>
      <c r="C2" s="1" t="s">
        <v>28</v>
      </c>
      <c r="D2" s="1" t="s">
        <v>34</v>
      </c>
      <c r="E2" s="2" t="s">
        <v>33</v>
      </c>
      <c r="F2" s="27" t="s">
        <v>33</v>
      </c>
      <c r="G2" s="27" t="s">
        <v>33</v>
      </c>
    </row>
    <row r="3" spans="1:8" x14ac:dyDescent="0.25">
      <c r="A3" s="1" t="s">
        <v>35</v>
      </c>
      <c r="B3" s="1" t="s">
        <v>36</v>
      </c>
      <c r="C3" s="1" t="s">
        <v>28</v>
      </c>
      <c r="D3" s="4" t="s">
        <v>37</v>
      </c>
      <c r="E3" s="1" t="s">
        <v>36</v>
      </c>
      <c r="F3" s="27"/>
      <c r="G3" s="27"/>
    </row>
    <row r="4" spans="1:8" x14ac:dyDescent="0.25">
      <c r="A4" s="1" t="s">
        <v>38</v>
      </c>
      <c r="B4" s="5" t="s">
        <v>39</v>
      </c>
      <c r="C4" s="1" t="s">
        <v>28</v>
      </c>
      <c r="D4" s="1" t="s">
        <v>40</v>
      </c>
      <c r="E4" s="5" t="s">
        <v>39</v>
      </c>
      <c r="F4" s="28" t="s">
        <v>41</v>
      </c>
      <c r="G4" s="27"/>
    </row>
    <row r="5" spans="1:8" x14ac:dyDescent="0.25">
      <c r="A5" s="1" t="s">
        <v>42</v>
      </c>
      <c r="B5" s="2" t="s">
        <v>43</v>
      </c>
      <c r="C5" s="1" t="s">
        <v>28</v>
      </c>
      <c r="D5" s="3" t="s">
        <v>41</v>
      </c>
      <c r="E5" s="3" t="s">
        <v>41</v>
      </c>
      <c r="F5" s="28"/>
      <c r="G5" s="27"/>
    </row>
    <row r="6" spans="1:8" x14ac:dyDescent="0.25">
      <c r="A6" s="1" t="s">
        <v>44</v>
      </c>
      <c r="B6" s="2" t="s">
        <v>45</v>
      </c>
      <c r="C6" s="1" t="s">
        <v>28</v>
      </c>
      <c r="D6" s="3" t="s">
        <v>46</v>
      </c>
      <c r="E6" s="2" t="s">
        <v>45</v>
      </c>
      <c r="F6" s="3" t="s">
        <v>47</v>
      </c>
      <c r="G6" s="28" t="s">
        <v>47</v>
      </c>
    </row>
    <row r="7" spans="1:8" x14ac:dyDescent="0.25">
      <c r="A7" s="1" t="s">
        <v>48</v>
      </c>
      <c r="B7" s="4" t="s">
        <v>49</v>
      </c>
      <c r="C7" s="1" t="s">
        <v>28</v>
      </c>
      <c r="D7" s="3" t="s">
        <v>47</v>
      </c>
      <c r="E7" s="3" t="s">
        <v>47</v>
      </c>
      <c r="F7" s="2" t="s">
        <v>45</v>
      </c>
      <c r="G7" s="28"/>
    </row>
    <row r="8" spans="1:8" x14ac:dyDescent="0.25">
      <c r="E8" s="15"/>
    </row>
  </sheetData>
  <mergeCells count="4">
    <mergeCell ref="F2:F3"/>
    <mergeCell ref="F4:F5"/>
    <mergeCell ref="G2:G5"/>
    <mergeCell ref="G6:G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191b2d3-7d38-48ed-b3a4-7a9f420ca5cd}" enabled="1" method="Standard" siteId="{374f8026-7b54-4a3a-b87d-328fa26ec10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Mens </vt:lpstr>
      <vt:lpstr>Female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Shristi Painaik</dc:creator>
  <cp:keywords/>
  <dc:description/>
  <cp:lastModifiedBy>Aniket Gadekar</cp:lastModifiedBy>
  <cp:revision/>
  <dcterms:created xsi:type="dcterms:W3CDTF">2026-10-08T09:58:24Z</dcterms:created>
  <dcterms:modified xsi:type="dcterms:W3CDTF">2026-10-27T08:56:08Z</dcterms:modified>
  <cp:category/>
  <cp:contentStatus/>
</cp:coreProperties>
</file>